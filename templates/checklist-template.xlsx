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filterPrivacy="1"/>
  <xr:revisionPtr revIDLastSave="6" documentId="8_{7F9690AE-EB1C-4644-9458-CE2DFE09C42A}" xr6:coauthVersionLast="47" xr6:coauthVersionMax="47" xr10:uidLastSave="{04006683-965F-41C6-96F3-8371DEA1AD29}"/>
  <bookViews>
    <workbookView xWindow="-110" yWindow="-110" windowWidth="19420" windowHeight="10300" tabRatio="668" xr2:uid="{00000000-000D-0000-FFFF-FFFF00000000}"/>
  </bookViews>
  <sheets>
    <sheet name="ROR" sheetId="6" r:id="rId1"/>
  </sheets>
  <definedNames>
    <definedName name="_xlnm.Print_Area" localSheetId="0">ROR!$A:$J</definedName>
    <definedName name="_xlnm.Print_Titles" localSheetId="0">ROR!$10:$10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6" l="1"/>
  <c r="J8" i="6"/>
  <c r="J6" i="6"/>
  <c r="J5" i="6"/>
  <c r="J4" i="6"/>
  <c r="H4" i="6"/>
  <c r="H5" i="6"/>
  <c r="H6" i="6"/>
  <c r="H7" i="6"/>
  <c r="H3" i="6"/>
  <c r="H9" i="6" l="1"/>
  <c r="F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0" authorId="0" shapeId="0" xr:uid="{7804A0DE-6963-4CC1-B636-EC60E0377C58}">
      <text>
        <r>
          <rPr>
            <sz val="10"/>
            <color indexed="81"/>
            <rFont val="Work Sans"/>
            <scheme val="minor"/>
          </rPr>
          <t xml:space="preserve">Justification for any checkpoint not addressed/rejected review comment/etc. to be provided here
</t>
        </r>
      </text>
    </comment>
  </commentList>
</comments>
</file>

<file path=xl/sharedStrings.xml><?xml version="1.0" encoding="utf-8"?>
<sst xmlns="http://schemas.openxmlformats.org/spreadsheetml/2006/main" count="121" uniqueCount="118">
  <si>
    <t>Source Code Review Checklist</t>
  </si>
  <si>
    <t>Review Identification</t>
  </si>
  <si>
    <t xml:space="preserve"> Efforts</t>
  </si>
  <si>
    <t>Defect Classification</t>
  </si>
  <si>
    <t>Defect Summary</t>
  </si>
  <si>
    <t>Project Name</t>
  </si>
  <si>
    <t>PACCAR- DECISIV (PSSM) 2.0 Phase 1</t>
  </si>
  <si>
    <t>Review Effort (Hrs)</t>
  </si>
  <si>
    <t>Functional</t>
  </si>
  <si>
    <t>Author</t>
  </si>
  <si>
    <t>Source Code</t>
  </si>
  <si>
    <t>&lt;Source Code file names&gt;</t>
  </si>
  <si>
    <t>Technical</t>
  </si>
  <si>
    <t>Yes</t>
  </si>
  <si>
    <t>Version</t>
  </si>
  <si>
    <t>&lt;x.y.z&gt;</t>
  </si>
  <si>
    <t>Correction Eff.
(Hrs)</t>
  </si>
  <si>
    <t>Process/Compliance</t>
  </si>
  <si>
    <t>No</t>
  </si>
  <si>
    <t>Author(s)</t>
  </si>
  <si>
    <t>&lt;Author(s) Name&gt;</t>
  </si>
  <si>
    <t>Documentation</t>
  </si>
  <si>
    <t>NA</t>
  </si>
  <si>
    <t>Reviewer(s)</t>
  </si>
  <si>
    <t>SME - &lt;Reviewer(s) Name&gt;</t>
  </si>
  <si>
    <t>Re-verification 
Eff. (Hrs)</t>
  </si>
  <si>
    <t>Others</t>
  </si>
  <si>
    <t>Reviewer</t>
  </si>
  <si>
    <t>Start Date</t>
  </si>
  <si>
    <t>&lt;dd-Mmm-yyyy&gt;</t>
  </si>
  <si>
    <t>OK</t>
  </si>
  <si>
    <t>End Date</t>
  </si>
  <si>
    <t>Total Eff. (Hrs)</t>
  </si>
  <si>
    <t>Total</t>
  </si>
  <si>
    <t>Not OK</t>
  </si>
  <si>
    <t>#</t>
  </si>
  <si>
    <t>Review Area</t>
  </si>
  <si>
    <t>Check Category</t>
  </si>
  <si>
    <t>Description of Check</t>
  </si>
  <si>
    <t>Description of Finding (by reviewer)</t>
  </si>
  <si>
    <t>Defect Type</t>
  </si>
  <si>
    <t>Remarks by Author</t>
  </si>
  <si>
    <t>Re-review Status</t>
  </si>
  <si>
    <t>Branch / Dependencies</t>
  </si>
  <si>
    <t>Branch currency and dependency alignment</t>
  </si>
  <si>
    <t>Keep the branch rebased/merged with master/main and verify shared UI/component library versions are current before relying on new APIs.</t>
  </si>
  <si>
    <t>I18n / Translations</t>
  </si>
  <si>
    <t>Internationalization and user-facing text</t>
  </si>
  <si>
    <t>Do not hardcode user-facing strings. Add missing translations and pass them through the established Rails/React I18n flow.</t>
  </si>
  <si>
    <t>Feature Flags / Dependency Ordering</t>
  </si>
  <si>
    <t>Feature readiness and safe rollout</t>
  </si>
  <si>
    <t>Do not reference new associations, attributes, APIs, or upcoming-PR functionality in live code until they exist on master/main, unless safely feature-flagged.</t>
  </si>
  <si>
    <t>Performance / DB</t>
  </si>
  <si>
    <t>Database query efficiency</t>
  </si>
  <si>
    <t>Eager-load associations used inside loops, table rows, and partials to avoid N+1 queries.</t>
  </si>
  <si>
    <t>Architecture / Services</t>
  </si>
  <si>
    <t>Controller/service responsibility separation</t>
  </si>
  <si>
    <t>Avoid duplicate controller methods and extract reusable business logic into service classes, helpers, or named domain methods.</t>
  </si>
  <si>
    <t>Error Handling</t>
  </si>
  <si>
    <t>HTTP failure semantics and UI error behavior</t>
  </si>
  <si>
    <t>Handle HTTP statuses intentionally so business validation responses are displayed correctly while true failures still trigger error paths.</t>
  </si>
  <si>
    <t>UI State / Conditions</t>
  </si>
  <si>
    <t>Boolean logic correctness</t>
  </si>
  <si>
    <t>Review boolean conditions for impossible states, incorrect &amp;&amp;/|| usage, duplicate-message guards, and unreachable UI behavior.</t>
  </si>
  <si>
    <t>Testing / Service Specs</t>
  </si>
  <si>
    <t>Test realism and contract fidelity</t>
  </si>
  <si>
    <t>Ensure tests pass objects/doubles that match runtime contracts rather than relying on coincidental method compatibility.</t>
  </si>
  <si>
    <t>PR Hygiene</t>
  </si>
  <si>
    <t>PR readiness and reviewer workflow</t>
  </si>
  <si>
    <t>Before marking a PR ready for review, resolve automated review/Copilot comments, formatter issues, and obvious cleanup items.</t>
  </si>
  <si>
    <t>Imports</t>
  </si>
  <si>
    <t>Import consistency and shared package usage</t>
  </si>
  <si>
    <t>Use the organization-preferred import style for shared components and avoid deep/internal imports unless the codebase standard requires them.</t>
  </si>
  <si>
    <t>Component API</t>
  </si>
  <si>
    <t>Use existing component capabilities</t>
  </si>
  <si>
    <t>Prefer built-in shared component options over custom workaround code when the component library already supports the behavior.</t>
  </si>
  <si>
    <t>Props / Defaults</t>
  </si>
  <si>
    <t>Explicit component contracts</t>
  </si>
  <si>
    <t>Define propTypes/defaultProps consistently, mark required props explicitly, and avoid scattered JavaScript fallback values for component defaults.</t>
  </si>
  <si>
    <t>Styling</t>
  </si>
  <si>
    <t>Styling separation and render performance</t>
  </si>
  <si>
    <t>Move inline styles, ad-hoc style objects, and declarative styling into styles.js, styled-components, or the approved CSS/styling file.</t>
  </si>
  <si>
    <t>Design Tokens</t>
  </si>
  <si>
    <t>Design-system token usage</t>
  </si>
  <si>
    <t>Use approved design tokens for spacing and convert fixed pixel-like values to rem where that is the codebase pattern.</t>
  </si>
  <si>
    <t>Dead Code / Cleanup</t>
  </si>
  <si>
    <t>Remove unused or redundant code</t>
  </si>
  <si>
    <t>Remove unused props, parameters, style variables, spreads, callbacks, and redundant conditional branches unless they are intentionally required.</t>
  </si>
  <si>
    <t>Validation / Business Rules</t>
  </si>
  <si>
    <t>Validation readability and testability</t>
  </si>
  <si>
    <t>Extract complex validation, eligibility, or business-rule checks into named validation methods/services.</t>
  </si>
  <si>
    <t>Logging / Observability</t>
  </si>
  <si>
    <t>Production-ready logging</t>
  </si>
  <si>
    <t>Use the approved structured logging format and avoid committing temporary/local-debug logging changes.</t>
  </si>
  <si>
    <t>Testing / Jest</t>
  </si>
  <si>
    <t>Frontend test conventions</t>
  </si>
  <si>
    <t>Use shared test utilities/providers and follow the application convention for Jest descriptors such as describe + it.</t>
  </si>
  <si>
    <t>Views / Partials</t>
  </si>
  <si>
    <t>Partial/component API contract</t>
  </si>
  <si>
    <t>Pass only parameters that are consumed by the target partial/component, or update the target to use the parameter intentionally.</t>
  </si>
  <si>
    <t>Formatting / Linting</t>
  </si>
  <si>
    <t>Automated formatting and style consistency</t>
  </si>
  <si>
    <t>Run the configured formatter/linter and fix indentation, spacing, JSX formatting, import cleanup, trailing commas, and newline-at-EOF issues.</t>
  </si>
  <si>
    <t>React Handlers</t>
  </si>
  <si>
    <t>Simplify React callbacks and handlers</t>
  </si>
  <si>
    <t>Avoid wrapper handlers or unnecessary useCallback when a prop callback can be passed directly.</t>
  </si>
  <si>
    <t>DOM IDs</t>
  </si>
  <si>
    <t>DOM/test selector namespacing</t>
  </si>
  <si>
    <t>Namespace React/KDS DOM IDs using the approved prefix convention.</t>
  </si>
  <si>
    <t>Ruby / Safe Navigation</t>
  </si>
  <si>
    <t>Nil handling clarity</t>
  </si>
  <si>
    <t>Use safe navigation only when nil is actually possible; remove redundant safe navigation after explicit presence checks.</t>
  </si>
  <si>
    <t>Boilerplate / Tooling</t>
  </si>
  <si>
    <t>Scaffolding and generated structure</t>
  </si>
  <si>
    <t>Use approved generators/scaffolding commands for repetitive component or test setup when available.</t>
  </si>
  <si>
    <t>Review Communication</t>
  </si>
  <si>
    <t>Reviewer tone and non-blocking guidance</t>
  </si>
  <si>
    <t>Classify comments as blocking or non-blocking, and phrase minor suggestions as optional when they do not affect correctness.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</si>
</sst>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Work Sans"/>
      <family val="2"/>
      <scheme val="minor"/>
    </font>
    <font>
      <sz val="11"/>
      <color theme="1"/>
      <name val="Work Sans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name val="Work Sans"/>
    </font>
    <font>
      <sz val="11"/>
      <color theme="1"/>
      <name val="Work Sans"/>
    </font>
    <font>
      <b/>
      <sz val="10"/>
      <name val="Work Sans"/>
    </font>
    <font>
      <sz val="10"/>
      <name val="Work Sans"/>
    </font>
    <font>
      <sz val="9"/>
      <name val="Work Sans"/>
    </font>
    <font>
      <b/>
      <sz val="10"/>
      <color theme="1"/>
      <name val="Work Sans"/>
    </font>
    <font>
      <sz val="10"/>
      <color indexed="8"/>
      <name val="Work Sans"/>
    </font>
    <font>
      <sz val="12"/>
      <name val="Work Sans"/>
    </font>
    <font>
      <sz val="11"/>
      <name val="Work Sans"/>
    </font>
    <font>
      <b/>
      <sz val="10"/>
      <color theme="1"/>
      <name val="Work Sans"/>
      <scheme val="minor"/>
    </font>
    <font>
      <sz val="10"/>
      <color indexed="81"/>
      <name val="Work Sans"/>
      <scheme val="minor"/>
    </font>
    <font>
      <sz val="10"/>
      <color theme="1"/>
      <name val="Work Sans"/>
      <scheme val="minor"/>
    </font>
    <font>
      <sz val="10"/>
      <name val="Work Sans"/>
      <scheme val="minor"/>
    </font>
    <font>
      <b/>
      <sz val="10"/>
      <name val="Work Sans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0FF4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</cellStyleXfs>
  <cellXfs count="64">
    <xf numFmtId="0" fontId="0" fillId="0" borderId="0" xfId="0"/>
    <xf numFmtId="0" fontId="5" fillId="2" borderId="0" xfId="0" applyFont="1" applyFill="1"/>
    <xf numFmtId="0" fontId="5" fillId="0" borderId="0" xfId="0" applyFont="1"/>
    <xf numFmtId="0" fontId="7" fillId="0" borderId="1" xfId="0" applyFont="1" applyBorder="1" applyAlignment="1" applyProtection="1">
      <alignment horizontal="center" vertical="center"/>
      <protection locked="0"/>
    </xf>
    <xf numFmtId="0" fontId="7" fillId="2" borderId="0" xfId="0" applyFont="1" applyFill="1"/>
    <xf numFmtId="0" fontId="7" fillId="0" borderId="0" xfId="0" applyFont="1"/>
    <xf numFmtId="49" fontId="9" fillId="3" borderId="4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vertical="center"/>
    </xf>
    <xf numFmtId="49" fontId="9" fillId="3" borderId="6" xfId="0" applyNumberFormat="1" applyFont="1" applyFill="1" applyBorder="1" applyAlignment="1">
      <alignment vertical="center" wrapText="1"/>
    </xf>
    <xf numFmtId="49" fontId="9" fillId="3" borderId="6" xfId="0" applyNumberFormat="1" applyFont="1" applyFill="1" applyBorder="1" applyAlignment="1">
      <alignment horizontal="center" vertical="center" wrapText="1"/>
    </xf>
    <xf numFmtId="0" fontId="8" fillId="0" borderId="1" xfId="5" applyFont="1" applyBorder="1" applyAlignment="1" applyProtection="1">
      <alignment horizontal="center" vertical="center" wrapText="1"/>
      <protection locked="0"/>
    </xf>
    <xf numFmtId="0" fontId="7" fillId="0" borderId="1" xfId="5" applyFont="1" applyBorder="1" applyAlignment="1" applyProtection="1">
      <alignment horizontal="center" vertical="center"/>
      <protection locked="0"/>
    </xf>
    <xf numFmtId="0" fontId="8" fillId="0" borderId="1" xfId="5" applyFont="1" applyBorder="1" applyAlignment="1" applyProtection="1">
      <alignment horizontal="center" vertical="center"/>
      <protection locked="0"/>
    </xf>
    <xf numFmtId="0" fontId="10" fillId="0" borderId="1" xfId="5" applyFont="1" applyBorder="1" applyAlignment="1" applyProtection="1">
      <alignment horizontal="left" vertical="top" wrapText="1"/>
      <protection locked="0"/>
    </xf>
    <xf numFmtId="0" fontId="7" fillId="0" borderId="4" xfId="5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5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7" fillId="0" borderId="1" xfId="5" applyFont="1" applyBorder="1" applyAlignment="1" applyProtection="1">
      <alignment horizontal="left" vertical="top" wrapText="1"/>
      <protection locked="0"/>
    </xf>
    <xf numFmtId="0" fontId="10" fillId="0" borderId="1" xfId="3" applyFont="1" applyBorder="1" applyAlignment="1" applyProtection="1">
      <alignment horizontal="left" vertical="top" wrapText="1"/>
      <protection locked="0"/>
    </xf>
    <xf numFmtId="0" fontId="8" fillId="0" borderId="1" xfId="3" applyFont="1" applyBorder="1" applyAlignment="1" applyProtection="1">
      <alignment horizontal="center" vertical="center" wrapText="1"/>
      <protection locked="0"/>
    </xf>
    <xf numFmtId="0" fontId="7" fillId="0" borderId="1" xfId="3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center" vertical="center"/>
      <protection locked="0"/>
    </xf>
    <xf numFmtId="0" fontId="12" fillId="0" borderId="0" xfId="0" applyFont="1"/>
    <xf numFmtId="49" fontId="13" fillId="3" borderId="4" xfId="0" applyNumberFormat="1" applyFont="1" applyFill="1" applyBorder="1" applyAlignment="1">
      <alignment horizontal="center" vertical="center" wrapText="1"/>
    </xf>
    <xf numFmtId="0" fontId="15" fillId="0" borderId="1" xfId="5" applyFont="1" applyBorder="1" applyAlignment="1">
      <alignment horizontal="center" vertical="top"/>
    </xf>
    <xf numFmtId="0" fontId="16" fillId="5" borderId="2" xfId="0" applyFont="1" applyFill="1" applyBorder="1" applyAlignment="1">
      <alignment horizontal="center" vertical="center"/>
    </xf>
    <xf numFmtId="0" fontId="15" fillId="2" borderId="0" xfId="0" applyFont="1" applyFill="1"/>
    <xf numFmtId="0" fontId="15" fillId="0" borderId="0" xfId="0" applyFont="1"/>
    <xf numFmtId="0" fontId="15" fillId="5" borderId="1" xfId="0" applyFont="1" applyFill="1" applyBorder="1" applyAlignment="1">
      <alignment horizontal="center" vertical="top"/>
    </xf>
    <xf numFmtId="0" fontId="16" fillId="2" borderId="0" xfId="0" applyFont="1" applyFill="1"/>
    <xf numFmtId="0" fontId="16" fillId="0" borderId="0" xfId="0" applyFont="1"/>
    <xf numFmtId="0" fontId="17" fillId="5" borderId="5" xfId="0" applyFont="1" applyFill="1" applyBorder="1" applyAlignment="1">
      <alignment horizontal="center" vertical="top" wrapText="1"/>
    </xf>
    <xf numFmtId="0" fontId="17" fillId="5" borderId="5" xfId="0" applyFont="1" applyFill="1" applyBorder="1" applyAlignment="1">
      <alignment horizontal="center" vertical="center"/>
    </xf>
    <xf numFmtId="0" fontId="17" fillId="5" borderId="5" xfId="5" applyFont="1" applyFill="1" applyBorder="1" applyAlignment="1">
      <alignment horizontal="center" vertical="top"/>
    </xf>
    <xf numFmtId="0" fontId="15" fillId="5" borderId="7" xfId="0" applyFont="1" applyFill="1" applyBorder="1" applyAlignment="1">
      <alignment horizontal="center" vertical="top"/>
    </xf>
    <xf numFmtId="0" fontId="16" fillId="2" borderId="2" xfId="0" applyFont="1" applyFill="1" applyBorder="1" applyAlignment="1">
      <alignment horizontal="left" vertical="top"/>
    </xf>
    <xf numFmtId="0" fontId="16" fillId="2" borderId="3" xfId="0" applyFont="1" applyFill="1" applyBorder="1" applyAlignment="1">
      <alignment horizontal="left" vertical="top"/>
    </xf>
    <xf numFmtId="0" fontId="16" fillId="2" borderId="2" xfId="0" applyFont="1" applyFill="1" applyBorder="1" applyAlignment="1">
      <alignment horizontal="left" vertical="top" wrapText="1"/>
    </xf>
    <xf numFmtId="0" fontId="15" fillId="2" borderId="3" xfId="0" applyFont="1" applyFill="1" applyBorder="1" applyAlignment="1">
      <alignment horizontal="left" vertical="top" wrapText="1"/>
    </xf>
    <xf numFmtId="0" fontId="15" fillId="2" borderId="3" xfId="0" applyFont="1" applyFill="1" applyBorder="1" applyAlignment="1">
      <alignment horizontal="left" vertical="top"/>
    </xf>
    <xf numFmtId="0" fontId="16" fillId="2" borderId="9" xfId="0" applyFont="1" applyFill="1" applyBorder="1" applyAlignment="1">
      <alignment horizontal="left" vertical="top"/>
    </xf>
    <xf numFmtId="0" fontId="15" fillId="2" borderId="7" xfId="0" applyFont="1" applyFill="1" applyBorder="1" applyAlignment="1">
      <alignment horizontal="left" vertical="top"/>
    </xf>
    <xf numFmtId="0" fontId="16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 wrapText="1"/>
    </xf>
    <xf numFmtId="0" fontId="16" fillId="5" borderId="5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left" vertical="top"/>
      <protection locked="0"/>
    </xf>
    <xf numFmtId="0" fontId="4" fillId="6" borderId="0" xfId="0" applyFont="1" applyFill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2" xfId="5" applyFont="1" applyFill="1" applyBorder="1" applyAlignment="1">
      <alignment horizontal="center" vertical="center"/>
    </xf>
    <xf numFmtId="0" fontId="11" fillId="7" borderId="3" xfId="5" applyFont="1" applyFill="1" applyBorder="1" applyAlignment="1">
      <alignment horizontal="center" vertical="center"/>
    </xf>
  </cellXfs>
  <cellStyles count="6">
    <cellStyle name="Normal" xfId="0" builtinId="0"/>
    <cellStyle name="Normal 2" xfId="5" xr:uid="{00000000-0005-0000-0000-000001000000}"/>
    <cellStyle name="Normal 2 2" xfId="3" xr:uid="{00000000-0005-0000-0000-000002000000}"/>
    <cellStyle name="Normal 2 2 2" xfId="4" xr:uid="{00000000-0005-0000-0000-000003000000}"/>
    <cellStyle name="Normal 3" xfId="2" xr:uid="{00000000-0005-0000-0000-000004000000}"/>
    <cellStyle name="Normal 3 2" xfId="1" xr:uid="{00000000-0005-0000-0000-000005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Work San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Work San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Work San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Work Sans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Work San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Work San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Work Sans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Work Sans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Work Sans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Work San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Work Sans"/>
        <scheme val="none"/>
      </font>
      <numFmt numFmtId="30" formatCode="@"/>
      <fill>
        <patternFill patternType="solid">
          <fgColor indexed="64"/>
          <bgColor rgb="FFB0FF4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Medium9"/>
  <colors>
    <mruColors>
      <color rgb="FF8FDB00"/>
      <color rgb="FFB0FF45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09AD8C-EA1B-49D5-B351-00F831D6BD85}" name="Table1" displayName="Table1" ref="A10:J35" totalsRowShown="0" headerRowDxfId="13" headerRowBorderDxfId="11" tableBorderDxfId="12" totalsRowBorderDxfId="10">
  <autoFilter ref="A10:J35" xr:uid="{3709AD8C-EA1B-49D5-B351-00F831D6BD85}"/>
  <tableColumns count="10">
    <tableColumn id="1" xr3:uid="{DCCA12B7-FD18-49C2-A664-318BA807E122}" name="#" dataDxfId="9"/>
    <tableColumn id="2" xr3:uid="{8001DB1A-8F2A-4583-851E-5602EF23D432}" name="Review Area" dataDxfId="8"/>
    <tableColumn id="11" xr3:uid="{5D698151-96AD-4B28-B870-8545D6A7BA9E}" name="Check Category" dataDxfId="7"/>
    <tableColumn id="3" xr3:uid="{621D4FDB-2551-4516-A014-70727F2434DC}" name="Description of Check" dataDxfId="6"/>
    <tableColumn id="4" xr3:uid="{322CE853-2C57-488F-9E37-C55619CF2DE8}" name="Author" dataDxfId="5"/>
    <tableColumn id="5" xr3:uid="{B9DE2B2F-9871-4192-B5D2-230921A94CF9}" name="Reviewer" dataDxfId="4"/>
    <tableColumn id="6" xr3:uid="{E086AB2C-BB40-4CEE-960D-21EDCAA501D0}" name="Description of Finding (by reviewer)" dataDxfId="3" dataCellStyle="Normal 2"/>
    <tableColumn id="7" xr3:uid="{243204F0-C32A-44CD-889F-E593A8E34C06}" name="Defect Type" dataDxfId="2" dataCellStyle="Normal 2"/>
    <tableColumn id="8" xr3:uid="{1FD5FB42-83BD-4093-9E1A-6F6714709D15}" name="Remarks by Author" dataDxfId="1" dataCellStyle="Normal 2"/>
    <tableColumn id="9" xr3:uid="{1EF5E608-9F8E-46B5-90C5-23C72960B877}" name="Re-review Status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KPIT">
  <a:themeElements>
    <a:clrScheme name="KPIT Colour Palette">
      <a:dk1>
        <a:srgbClr val="161718"/>
      </a:dk1>
      <a:lt1>
        <a:srgbClr val="FFFFFF"/>
      </a:lt1>
      <a:dk2>
        <a:srgbClr val="4D5154"/>
      </a:dk2>
      <a:lt2>
        <a:srgbClr val="E6E7E8"/>
      </a:lt2>
      <a:accent1>
        <a:srgbClr val="B0FF45"/>
      </a:accent1>
      <a:accent2>
        <a:srgbClr val="8FDB00"/>
      </a:accent2>
      <a:accent3>
        <a:srgbClr val="428003"/>
      </a:accent3>
      <a:accent4>
        <a:srgbClr val="753DFF"/>
      </a:accent4>
      <a:accent5>
        <a:srgbClr val="622AD8"/>
      </a:accent5>
      <a:accent6>
        <a:srgbClr val="7F7F7F"/>
      </a:accent6>
      <a:hlink>
        <a:srgbClr val="753DFF"/>
      </a:hlink>
      <a:folHlink>
        <a:srgbClr val="A5A5A5"/>
      </a:folHlink>
    </a:clrScheme>
    <a:fontScheme name="KPIT">
      <a:majorFont>
        <a:latin typeface="Work Sans Medium"/>
        <a:ea typeface=""/>
        <a:cs typeface=""/>
      </a:majorFont>
      <a:minorFont>
        <a:latin typeface="Work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KPIT" id="{4E573A9A-AA9D-425D-A067-0E73AC27A67D}" vid="{24A8AD73-94F0-40EA-A682-C12280D0B3B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5"/>
  <sheetViews>
    <sheetView showGridLines="0" tabSelected="1" topLeftCell="A31" zoomScale="70" zoomScaleNormal="70" workbookViewId="0">
      <selection activeCell="A11" sqref="A11:A35"/>
    </sheetView>
  </sheetViews>
  <sheetFormatPr defaultColWidth="8.88671875" defaultRowHeight="17.45"/>
  <cols>
    <col min="1" max="1" width="4.33203125" style="2" customWidth="1"/>
    <col min="2" max="2" width="24.21875" style="2" customWidth="1"/>
    <col min="3" max="3" width="33.33203125" style="2" customWidth="1"/>
    <col min="4" max="4" width="60.6640625" style="2" customWidth="1"/>
    <col min="5" max="5" width="11.6640625" style="2" customWidth="1"/>
    <col min="6" max="6" width="10.5546875" style="2" customWidth="1"/>
    <col min="7" max="7" width="39.33203125" style="2" customWidth="1"/>
    <col min="8" max="10" width="11.109375" style="2" customWidth="1"/>
    <col min="11" max="23" width="8.88671875" style="1"/>
    <col min="24" max="16384" width="8.88671875" style="2"/>
  </cols>
  <sheetData>
    <row r="1" spans="1:23" ht="22.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W1" s="2"/>
    </row>
    <row r="2" spans="1:23" ht="19.5">
      <c r="A2" s="61" t="s">
        <v>1</v>
      </c>
      <c r="B2" s="61"/>
      <c r="C2" s="61"/>
      <c r="D2" s="61"/>
      <c r="E2" s="49" t="s">
        <v>2</v>
      </c>
      <c r="F2" s="50"/>
      <c r="G2" s="62" t="s">
        <v>3</v>
      </c>
      <c r="H2" s="63"/>
      <c r="I2" s="51" t="s">
        <v>4</v>
      </c>
      <c r="J2" s="52"/>
      <c r="W2" s="2"/>
    </row>
    <row r="3" spans="1:23" s="31" customFormat="1" ht="15.95">
      <c r="A3" s="46" t="s">
        <v>5</v>
      </c>
      <c r="B3" s="46"/>
      <c r="C3" s="58" t="s">
        <v>6</v>
      </c>
      <c r="D3" s="59"/>
      <c r="E3" s="55" t="s">
        <v>7</v>
      </c>
      <c r="F3" s="57"/>
      <c r="G3" s="29" t="s">
        <v>8</v>
      </c>
      <c r="H3" s="18">
        <f>COUNTIF($H$11:$H$35, G3)</f>
        <v>0</v>
      </c>
      <c r="I3" s="53" t="s">
        <v>9</v>
      </c>
      <c r="J3" s="5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1:23" s="31" customFormat="1" ht="15.95">
      <c r="A4" s="46" t="s">
        <v>10</v>
      </c>
      <c r="B4" s="46"/>
      <c r="C4" s="39" t="s">
        <v>11</v>
      </c>
      <c r="D4" s="40"/>
      <c r="E4" s="55"/>
      <c r="F4" s="57"/>
      <c r="G4" s="29" t="s">
        <v>12</v>
      </c>
      <c r="H4" s="18">
        <f>COUNTIF($H$11:$H$35, G4)</f>
        <v>0</v>
      </c>
      <c r="I4" s="32" t="s">
        <v>13</v>
      </c>
      <c r="J4" s="17">
        <f>COUNTIF(E11:E35, "Yes")</f>
        <v>0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</row>
    <row r="5" spans="1:23" s="31" customFormat="1" ht="15.95">
      <c r="A5" s="46" t="s">
        <v>14</v>
      </c>
      <c r="B5" s="46"/>
      <c r="C5" s="39" t="s">
        <v>15</v>
      </c>
      <c r="D5" s="40"/>
      <c r="E5" s="55" t="s">
        <v>16</v>
      </c>
      <c r="F5" s="57"/>
      <c r="G5" s="29" t="s">
        <v>17</v>
      </c>
      <c r="H5" s="18">
        <f>COUNTIF($H$11:$H$35, G5)</f>
        <v>0</v>
      </c>
      <c r="I5" s="32" t="s">
        <v>18</v>
      </c>
      <c r="J5" s="17">
        <f>COUNTIF(E11:E35, "No")</f>
        <v>0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1:23" s="31" customFormat="1" ht="15.95">
      <c r="A6" s="46" t="s">
        <v>19</v>
      </c>
      <c r="B6" s="46"/>
      <c r="C6" s="39" t="s">
        <v>20</v>
      </c>
      <c r="D6" s="43"/>
      <c r="E6" s="55"/>
      <c r="F6" s="57"/>
      <c r="G6" s="29" t="s">
        <v>21</v>
      </c>
      <c r="H6" s="18">
        <f>COUNTIF($H$11:$H$35, G6)</f>
        <v>0</v>
      </c>
      <c r="I6" s="32" t="s">
        <v>22</v>
      </c>
      <c r="J6" s="17">
        <f>COUNTIF(E11:E35, "NA")</f>
        <v>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</row>
    <row r="7" spans="1:23" s="31" customFormat="1" ht="50.1" customHeight="1">
      <c r="A7" s="46" t="s">
        <v>23</v>
      </c>
      <c r="B7" s="46"/>
      <c r="C7" s="41" t="s">
        <v>24</v>
      </c>
      <c r="D7" s="42"/>
      <c r="E7" s="55" t="s">
        <v>25</v>
      </c>
      <c r="F7" s="56"/>
      <c r="G7" s="29" t="s">
        <v>26</v>
      </c>
      <c r="H7" s="18">
        <f>COUNTIF($H$11:$H$35, G7)</f>
        <v>0</v>
      </c>
      <c r="I7" s="53" t="s">
        <v>27</v>
      </c>
      <c r="J7" s="54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</row>
    <row r="8" spans="1:23" s="34" customFormat="1" ht="15.95">
      <c r="A8" s="47" t="s">
        <v>28</v>
      </c>
      <c r="B8" s="47"/>
      <c r="C8" s="39" t="s">
        <v>29</v>
      </c>
      <c r="D8" s="43"/>
      <c r="E8" s="55"/>
      <c r="F8" s="56"/>
      <c r="G8" s="29"/>
      <c r="H8" s="28"/>
      <c r="I8" s="32" t="s">
        <v>30</v>
      </c>
      <c r="J8" s="16">
        <f>COUNTIF(F11:F35, "Ok")</f>
        <v>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3" s="34" customFormat="1" ht="32.1">
      <c r="A9" s="48" t="s">
        <v>31</v>
      </c>
      <c r="B9" s="48"/>
      <c r="C9" s="44" t="s">
        <v>29</v>
      </c>
      <c r="D9" s="45"/>
      <c r="E9" s="35" t="s">
        <v>32</v>
      </c>
      <c r="F9" s="36">
        <f>SUM(F3:F8)</f>
        <v>0</v>
      </c>
      <c r="G9" s="37" t="s">
        <v>33</v>
      </c>
      <c r="H9" s="37">
        <f>SUM(H3:H8)</f>
        <v>0</v>
      </c>
      <c r="I9" s="38" t="s">
        <v>34</v>
      </c>
      <c r="J9" s="15">
        <f>COUNTIF(F11:F35, "Not Ok")</f>
        <v>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</row>
    <row r="10" spans="1:23" s="4" customFormat="1" ht="32.1">
      <c r="A10" s="7" t="s">
        <v>35</v>
      </c>
      <c r="B10" s="8" t="s">
        <v>36</v>
      </c>
      <c r="C10" s="8" t="s">
        <v>37</v>
      </c>
      <c r="D10" s="8" t="s">
        <v>38</v>
      </c>
      <c r="E10" s="6" t="s">
        <v>9</v>
      </c>
      <c r="F10" s="6" t="s">
        <v>27</v>
      </c>
      <c r="G10" s="6" t="s">
        <v>39</v>
      </c>
      <c r="H10" s="6" t="s">
        <v>40</v>
      </c>
      <c r="I10" s="27" t="s">
        <v>41</v>
      </c>
      <c r="J10" s="9" t="s">
        <v>42</v>
      </c>
    </row>
    <row r="11" spans="1:23" s="5" customFormat="1" ht="32.1">
      <c r="A11" s="19">
        <v>1</v>
      </c>
      <c r="B11" s="20" t="s">
        <v>43</v>
      </c>
      <c r="C11" s="20" t="s">
        <v>44</v>
      </c>
      <c r="D11" s="20" t="s">
        <v>45</v>
      </c>
      <c r="E11" s="3"/>
      <c r="F11" s="3"/>
      <c r="G11" s="21"/>
      <c r="H11" s="10"/>
      <c r="I11" s="14"/>
      <c r="J11" s="1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s="5" customFormat="1" ht="32.1">
      <c r="A12" s="19">
        <v>2</v>
      </c>
      <c r="B12" s="20" t="s">
        <v>46</v>
      </c>
      <c r="C12" s="20" t="s">
        <v>47</v>
      </c>
      <c r="D12" s="20" t="s">
        <v>48</v>
      </c>
      <c r="E12" s="3"/>
      <c r="F12" s="3"/>
      <c r="G12" s="21"/>
      <c r="H12" s="10"/>
      <c r="I12" s="11"/>
      <c r="J12" s="1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s="5" customFormat="1" ht="32.1">
      <c r="A13" s="19">
        <v>3</v>
      </c>
      <c r="B13" s="20" t="s">
        <v>49</v>
      </c>
      <c r="C13" s="20" t="s">
        <v>50</v>
      </c>
      <c r="D13" s="20" t="s">
        <v>51</v>
      </c>
      <c r="E13" s="3"/>
      <c r="F13" s="3"/>
      <c r="G13" s="22"/>
      <c r="H13" s="23"/>
      <c r="I13" s="24"/>
      <c r="J13" s="2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s="5" customFormat="1" ht="32.1">
      <c r="A14" s="19">
        <v>4</v>
      </c>
      <c r="B14" s="20" t="s">
        <v>52</v>
      </c>
      <c r="C14" s="20" t="s">
        <v>53</v>
      </c>
      <c r="D14" s="20" t="s">
        <v>54</v>
      </c>
      <c r="E14" s="3"/>
      <c r="F14" s="3"/>
      <c r="G14" s="21"/>
      <c r="H14" s="10"/>
      <c r="I14" s="11"/>
      <c r="J14" s="1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s="5" customFormat="1" ht="32.1">
      <c r="A15" s="19">
        <v>5</v>
      </c>
      <c r="B15" s="20" t="s">
        <v>55</v>
      </c>
      <c r="C15" s="20" t="s">
        <v>56</v>
      </c>
      <c r="D15" s="20" t="s">
        <v>57</v>
      </c>
      <c r="E15" s="3"/>
      <c r="F15" s="3"/>
      <c r="G15" s="13"/>
      <c r="H15" s="10"/>
      <c r="I15" s="11"/>
      <c r="J15" s="1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s="5" customFormat="1" ht="32.1">
      <c r="A16" s="19">
        <v>6</v>
      </c>
      <c r="B16" s="20" t="s">
        <v>58</v>
      </c>
      <c r="C16" s="20" t="s">
        <v>59</v>
      </c>
      <c r="D16" s="20" t="s">
        <v>60</v>
      </c>
      <c r="E16" s="3"/>
      <c r="F16" s="3"/>
      <c r="G16" s="13"/>
      <c r="H16" s="10"/>
      <c r="I16" s="11"/>
      <c r="J16" s="1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s="5" customFormat="1" ht="32.1">
      <c r="A17" s="19">
        <v>7</v>
      </c>
      <c r="B17" s="20" t="s">
        <v>61</v>
      </c>
      <c r="C17" s="20" t="s">
        <v>62</v>
      </c>
      <c r="D17" s="20" t="s">
        <v>63</v>
      </c>
      <c r="E17" s="3"/>
      <c r="F17" s="3"/>
      <c r="G17" s="21"/>
      <c r="H17" s="10"/>
      <c r="I17" s="11"/>
      <c r="J17" s="1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s="5" customFormat="1" ht="32.1">
      <c r="A18" s="19">
        <v>8</v>
      </c>
      <c r="B18" s="20" t="s">
        <v>64</v>
      </c>
      <c r="C18" s="20" t="s">
        <v>65</v>
      </c>
      <c r="D18" s="20" t="s">
        <v>66</v>
      </c>
      <c r="E18" s="3"/>
      <c r="F18" s="3"/>
      <c r="G18" s="22"/>
      <c r="H18" s="23"/>
      <c r="I18" s="24"/>
      <c r="J18" s="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s="5" customFormat="1" ht="32.1">
      <c r="A19" s="19">
        <v>9</v>
      </c>
      <c r="B19" s="20" t="s">
        <v>67</v>
      </c>
      <c r="C19" s="20" t="s">
        <v>68</v>
      </c>
      <c r="D19" s="20" t="s">
        <v>69</v>
      </c>
      <c r="E19" s="3"/>
      <c r="F19" s="3"/>
      <c r="G19" s="13"/>
      <c r="H19" s="10"/>
      <c r="I19" s="11"/>
      <c r="J19" s="1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s="5" customFormat="1" ht="32.1">
      <c r="A20" s="19">
        <v>10</v>
      </c>
      <c r="B20" s="20" t="s">
        <v>70</v>
      </c>
      <c r="C20" s="20" t="s">
        <v>71</v>
      </c>
      <c r="D20" s="20" t="s">
        <v>72</v>
      </c>
      <c r="E20" s="3"/>
      <c r="F20" s="3"/>
      <c r="G20" s="13"/>
      <c r="H20" s="10"/>
      <c r="I20" s="11"/>
      <c r="J20" s="1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s="5" customFormat="1" ht="32.1">
      <c r="A21" s="19">
        <v>11</v>
      </c>
      <c r="B21" s="20" t="s">
        <v>73</v>
      </c>
      <c r="C21" s="20" t="s">
        <v>74</v>
      </c>
      <c r="D21" s="20" t="s">
        <v>75</v>
      </c>
      <c r="E21" s="3"/>
      <c r="F21" s="3"/>
      <c r="G21" s="13"/>
      <c r="H21" s="10"/>
      <c r="I21" s="11"/>
      <c r="J21" s="1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s="5" customFormat="1" ht="32.1">
      <c r="A22" s="19">
        <v>12</v>
      </c>
      <c r="B22" s="20" t="s">
        <v>76</v>
      </c>
      <c r="C22" s="20" t="s">
        <v>77</v>
      </c>
      <c r="D22" s="20" t="s">
        <v>78</v>
      </c>
      <c r="E22" s="3"/>
      <c r="F22" s="3"/>
      <c r="G22" s="13"/>
      <c r="H22" s="10"/>
      <c r="I22" s="11"/>
      <c r="J22" s="1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s="5" customFormat="1" ht="32.1">
      <c r="A23" s="19">
        <v>13</v>
      </c>
      <c r="B23" s="20" t="s">
        <v>79</v>
      </c>
      <c r="C23" s="20" t="s">
        <v>80</v>
      </c>
      <c r="D23" s="20" t="s">
        <v>81</v>
      </c>
      <c r="E23" s="3"/>
      <c r="F23" s="3"/>
      <c r="G23" s="13"/>
      <c r="H23" s="10"/>
      <c r="I23" s="11"/>
      <c r="J23" s="1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s="5" customFormat="1" ht="32.1">
      <c r="A24" s="19">
        <v>14</v>
      </c>
      <c r="B24" s="20" t="s">
        <v>82</v>
      </c>
      <c r="C24" s="20" t="s">
        <v>83</v>
      </c>
      <c r="D24" s="20" t="s">
        <v>84</v>
      </c>
      <c r="E24" s="3"/>
      <c r="F24" s="3"/>
      <c r="G24" s="13"/>
      <c r="H24" s="10"/>
      <c r="I24" s="11"/>
      <c r="J24" s="1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s="5" customFormat="1" ht="32.1">
      <c r="A25" s="19">
        <v>15</v>
      </c>
      <c r="B25" s="20" t="s">
        <v>85</v>
      </c>
      <c r="C25" s="20" t="s">
        <v>86</v>
      </c>
      <c r="D25" s="20" t="s">
        <v>87</v>
      </c>
      <c r="E25" s="3"/>
      <c r="F25" s="3"/>
      <c r="G25" s="13"/>
      <c r="H25" s="10"/>
      <c r="I25" s="11"/>
      <c r="J25" s="1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s="5" customFormat="1" ht="32.1">
      <c r="A26" s="19">
        <v>16</v>
      </c>
      <c r="B26" s="20" t="s">
        <v>88</v>
      </c>
      <c r="C26" s="20" t="s">
        <v>89</v>
      </c>
      <c r="D26" s="20" t="s">
        <v>90</v>
      </c>
      <c r="E26" s="3"/>
      <c r="F26" s="3"/>
      <c r="G26" s="13"/>
      <c r="H26" s="10"/>
      <c r="I26" s="11"/>
      <c r="J26" s="1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s="5" customFormat="1" ht="32.1">
      <c r="A27" s="19">
        <v>17</v>
      </c>
      <c r="B27" s="20" t="s">
        <v>91</v>
      </c>
      <c r="C27" s="20" t="s">
        <v>92</v>
      </c>
      <c r="D27" s="20" t="s">
        <v>93</v>
      </c>
      <c r="E27" s="3"/>
      <c r="F27" s="3"/>
      <c r="G27" s="13"/>
      <c r="H27" s="10"/>
      <c r="I27" s="11"/>
      <c r="J27" s="1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s="5" customFormat="1" ht="32.1">
      <c r="A28" s="19">
        <v>18</v>
      </c>
      <c r="B28" s="20" t="s">
        <v>94</v>
      </c>
      <c r="C28" s="20" t="s">
        <v>95</v>
      </c>
      <c r="D28" s="20" t="s">
        <v>96</v>
      </c>
      <c r="E28" s="3"/>
      <c r="F28" s="3"/>
      <c r="G28" s="13"/>
      <c r="H28" s="10"/>
      <c r="I28" s="11"/>
      <c r="J28" s="1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s="5" customFormat="1" ht="32.1">
      <c r="A29" s="19">
        <v>19</v>
      </c>
      <c r="B29" s="20" t="s">
        <v>97</v>
      </c>
      <c r="C29" s="20" t="s">
        <v>98</v>
      </c>
      <c r="D29" s="20" t="s">
        <v>99</v>
      </c>
      <c r="E29" s="3"/>
      <c r="F29" s="3"/>
      <c r="G29" s="21"/>
      <c r="H29" s="10"/>
      <c r="I29" s="11"/>
      <c r="J29" s="1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s="26" customFormat="1" ht="32.1">
      <c r="A30" s="19">
        <v>20</v>
      </c>
      <c r="B30" s="20" t="s">
        <v>100</v>
      </c>
      <c r="C30" s="20" t="s">
        <v>101</v>
      </c>
      <c r="D30" s="20" t="s">
        <v>102</v>
      </c>
      <c r="E30" s="3"/>
      <c r="F30" s="3"/>
      <c r="G30" s="21"/>
      <c r="H30" s="10"/>
      <c r="I30" s="11"/>
      <c r="J30" s="12"/>
    </row>
    <row r="31" spans="1:23" s="26" customFormat="1" ht="32.1">
      <c r="A31" s="19">
        <v>21</v>
      </c>
      <c r="B31" s="20" t="s">
        <v>103</v>
      </c>
      <c r="C31" s="20" t="s">
        <v>104</v>
      </c>
      <c r="D31" s="20" t="s">
        <v>105</v>
      </c>
      <c r="E31" s="3"/>
      <c r="F31" s="3"/>
      <c r="G31" s="21"/>
      <c r="H31" s="10"/>
      <c r="I31" s="11"/>
      <c r="J31" s="12"/>
    </row>
    <row r="32" spans="1:23">
      <c r="A32" s="19">
        <v>22</v>
      </c>
      <c r="B32" s="20" t="s">
        <v>106</v>
      </c>
      <c r="C32" s="20" t="s">
        <v>107</v>
      </c>
      <c r="D32" s="20" t="s">
        <v>108</v>
      </c>
      <c r="E32" s="3"/>
      <c r="F32" s="3"/>
      <c r="G32" s="13"/>
      <c r="H32" s="10"/>
      <c r="I32" s="11"/>
      <c r="J32" s="12"/>
    </row>
    <row r="33" spans="1:10" ht="32.1">
      <c r="A33" s="19">
        <v>23</v>
      </c>
      <c r="B33" s="20" t="s">
        <v>109</v>
      </c>
      <c r="C33" s="20" t="s">
        <v>110</v>
      </c>
      <c r="D33" s="20" t="s">
        <v>111</v>
      </c>
      <c r="E33" s="3"/>
      <c r="F33" s="3"/>
      <c r="G33" s="13"/>
      <c r="H33" s="10"/>
      <c r="I33" s="11"/>
      <c r="J33" s="12"/>
    </row>
    <row r="34" spans="1:10" ht="32.1">
      <c r="A34" s="19">
        <v>24</v>
      </c>
      <c r="B34" s="20" t="s">
        <v>112</v>
      </c>
      <c r="C34" s="20" t="s">
        <v>113</v>
      </c>
      <c r="D34" s="20" t="s">
        <v>114</v>
      </c>
      <c r="E34" s="3"/>
      <c r="F34" s="3"/>
      <c r="G34" s="13"/>
      <c r="H34" s="10"/>
      <c r="I34" s="11"/>
      <c r="J34" s="12"/>
    </row>
    <row r="35" spans="1:10" ht="32.1">
      <c r="A35" s="19">
        <v>25</v>
      </c>
      <c r="B35" s="20" t="s">
        <v>115</v>
      </c>
      <c r="C35" s="20" t="s">
        <v>116</v>
      </c>
      <c r="D35" s="20" t="s">
        <v>117</v>
      </c>
      <c r="E35" s="3"/>
      <c r="F35" s="3"/>
      <c r="G35" s="13"/>
      <c r="H35" s="10"/>
      <c r="I35" s="11"/>
      <c r="J35" s="12"/>
    </row>
  </sheetData>
  <mergeCells count="27">
    <mergeCell ref="A1:J1"/>
    <mergeCell ref="A3:B3"/>
    <mergeCell ref="A4:B4"/>
    <mergeCell ref="I3:J3"/>
    <mergeCell ref="A2:D2"/>
    <mergeCell ref="G2:H2"/>
    <mergeCell ref="A7:B7"/>
    <mergeCell ref="A8:B8"/>
    <mergeCell ref="A9:B9"/>
    <mergeCell ref="E2:F2"/>
    <mergeCell ref="I2:J2"/>
    <mergeCell ref="I7:J7"/>
    <mergeCell ref="A6:B6"/>
    <mergeCell ref="E7:E8"/>
    <mergeCell ref="F7:F8"/>
    <mergeCell ref="A5:B5"/>
    <mergeCell ref="E3:E4"/>
    <mergeCell ref="E5:E6"/>
    <mergeCell ref="F3:F4"/>
    <mergeCell ref="F5:F6"/>
    <mergeCell ref="C3:D3"/>
    <mergeCell ref="C4:D4"/>
    <mergeCell ref="C5:D5"/>
    <mergeCell ref="C7:D7"/>
    <mergeCell ref="C6:D6"/>
    <mergeCell ref="C8:D8"/>
    <mergeCell ref="C9:D9"/>
  </mergeCells>
  <dataValidations count="4">
    <dataValidation type="list" allowBlank="1" showInputMessage="1" showErrorMessage="1" sqref="E11:E35" xr:uid="{00000000-0002-0000-0000-000000000000}">
      <formula1>"Yes, No, NA"</formula1>
    </dataValidation>
    <dataValidation type="list" allowBlank="1" showInputMessage="1" showErrorMessage="1" sqref="J11:J35" xr:uid="{00000000-0002-0000-0000-000003000000}">
      <formula1>"Closed, Rejected"</formula1>
    </dataValidation>
    <dataValidation type="list" allowBlank="1" showInputMessage="1" showErrorMessage="1" sqref="F11:F35" xr:uid="{00000000-0002-0000-0000-000004000000}">
      <formula1>"OK, Not OK"</formula1>
    </dataValidation>
    <dataValidation type="list" allowBlank="1" showInputMessage="1" showErrorMessage="1" sqref="H11:H35" xr:uid="{00000000-0002-0000-0000-000006000000}">
      <formula1>$G$3:$G$8</formula1>
    </dataValidation>
  </dataValidations>
  <pageMargins left="0.70866141732283472" right="0.70866141732283472" top="0.74803149606299213" bottom="0.74803149606299213" header="0.31496062992125984" footer="0.31496062992125984"/>
  <pageSetup scale="58" fitToHeight="0"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eee7d1eb-ee97-47ed-ba74-347c4602201b" xsi:nil="true"/>
    <_ip_UnifiedCompliancePolicyUIAction xmlns="http://schemas.microsoft.com/sharepoint/v3" xsi:nil="true"/>
    <Domain_x002f_Technicaldocument xmlns="eee7d1eb-ee97-47ed-ba74-347c4602201b" xsi:nil="true"/>
    <Examples xmlns="eee7d1eb-ee97-47ed-ba74-347c4602201b" xsi:nil="true"/>
    <lcf76f155ced4ddcb4097134ff3c332f xmlns="eee7d1eb-ee97-47ed-ba74-347c4602201b">
      <Terms xmlns="http://schemas.microsoft.com/office/infopath/2007/PartnerControls"/>
    </lcf76f155ced4ddcb4097134ff3c332f>
    <_ip_UnifiedCompliancePolicyProperties xmlns="http://schemas.microsoft.com/sharepoint/v3" xsi:nil="true"/>
    <TaxCatchAll xmlns="d06a3dc1-c7f2-42dd-9757-874319515f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A6E805D020BB45B1847EB779345DB4" ma:contentTypeVersion="25" ma:contentTypeDescription="Create a new document." ma:contentTypeScope="" ma:versionID="be359f2cc1c1d5dea15d588babaf66a9">
  <xsd:schema xmlns:xsd="http://www.w3.org/2001/XMLSchema" xmlns:xs="http://www.w3.org/2001/XMLSchema" xmlns:p="http://schemas.microsoft.com/office/2006/metadata/properties" xmlns:ns1="http://schemas.microsoft.com/sharepoint/v3" xmlns:ns2="d06a3dc1-c7f2-42dd-9757-874319515f89" xmlns:ns3="eee7d1eb-ee97-47ed-ba74-347c4602201b" targetNamespace="http://schemas.microsoft.com/office/2006/metadata/properties" ma:root="true" ma:fieldsID="ba3d47770ba326d892d9ae855c5748d8" ns1:_="" ns2:_="" ns3:_="">
    <xsd:import namespace="http://schemas.microsoft.com/sharepoint/v3"/>
    <xsd:import namespace="d06a3dc1-c7f2-42dd-9757-874319515f89"/>
    <xsd:import namespace="eee7d1eb-ee97-47ed-ba74-347c4602201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EventHashCode" minOccurs="0"/>
                <xsd:element ref="ns3:MediaServiceGenerationTim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Examples" minOccurs="0"/>
                <xsd:element ref="ns3:MediaServiceAutoKeyPoints" minOccurs="0"/>
                <xsd:element ref="ns3:MediaServiceKeyPoints" minOccurs="0"/>
                <xsd:element ref="ns3:Descrip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Domain_x002f_Technicaldocument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a3dc1-c7f2-42dd-9757-874319515f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a66f5312-5237-4b35-8dee-12865cc18137}" ma:internalName="TaxCatchAll" ma:showField="CatchAllData" ma:web="d06a3dc1-c7f2-42dd-9757-874319515f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e7d1eb-ee97-47ed-ba74-347c460220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Examples" ma:index="18" nillable="true" ma:displayName="Examples" ma:format="Dropdown" ma:internalName="Examples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scription" ma:index="21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2b8f5e56-e41c-4ff5-942a-46bb561873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omain_x002f_Technicaldocument" ma:index="28" nillable="true" ma:displayName="Domain/ Technical document" ma:format="Dropdown" ma:internalName="Domain_x002f_Technicaldocument">
      <xsd:simpleType>
        <xsd:restriction base="dms:Choice">
          <xsd:enumeration value="Domain"/>
          <xsd:enumeration value="Technical"/>
          <xsd:enumeration value="Choice 3"/>
        </xsd:restriction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C84C9B-E825-4D17-A967-ADB00F62EE98}"/>
</file>

<file path=customXml/itemProps2.xml><?xml version="1.0" encoding="utf-8"?>
<ds:datastoreItem xmlns:ds="http://schemas.openxmlformats.org/officeDocument/2006/customXml" ds:itemID="{8FF1C61F-D214-44E3-8AC0-12CF1BDDF856}"/>
</file>

<file path=customXml/itemProps3.xml><?xml version="1.0" encoding="utf-8"?>
<ds:datastoreItem xmlns:ds="http://schemas.openxmlformats.org/officeDocument/2006/customXml" ds:itemID="{64F4B7EB-0568-4C5B-8F9F-421CDC963A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Source Code Review Checklist</dc:title>
  <dc:subject/>
  <dc:creator/>
  <cp:keywords/>
  <dc:description/>
  <cp:lastModifiedBy>Akash Babrekar</cp:lastModifiedBy>
  <cp:revision/>
  <dcterms:created xsi:type="dcterms:W3CDTF">2006-09-16T00:00:00Z</dcterms:created>
  <dcterms:modified xsi:type="dcterms:W3CDTF">2026-05-21T07:10:52Z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0x010100E6A6E805D020BB45B1847EB779345DB4</vt:lpwstr>
  </property>
  <property fmtid="{D5CDD505-2E9C-101B-9397-08002B2CF9AE}" pid="3" name="Owner">
    <vt:lpwstr>Jawad Ali</vt:lpwstr>
  </property>
  <property fmtid="{D5CDD505-2E9C-101B-9397-08002B2CF9AE}" pid="4" name="MediaServiceImageTags">
    <vt:lpwstr/>
  </property>
</Properties>
</file>